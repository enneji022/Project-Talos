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 of Costs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<sst xmlns="http://schemas.openxmlformats.org/spreadsheetml/2006/main" count="91" uniqueCount="76">
  <si>
    <t xml:space="preserve">Category</t>
  </si>
  <si>
    <t xml:space="preserve">Item</t>
  </si>
  <si>
    <t xml:space="preserve">Model / Part No.</t>
  </si>
  <si>
    <t xml:space="preserve">Qty</t>
  </si>
  <si>
    <t xml:space="preserve">Unit Price (ZAR)</t>
  </si>
  <si>
    <t xml:space="preserve">Line Total (ZAR)</t>
  </si>
  <si>
    <t xml:space="preserve">Price Status</t>
  </si>
  <si>
    <t xml:space="preserve">Site</t>
  </si>
  <si>
    <t xml:space="preserve">Link</t>
  </si>
  <si>
    <t xml:space="preserve">Reason for Selection</t>
  </si>
  <si>
    <t xml:space="preserve">Compute</t>
  </si>
  <si>
    <t xml:space="preserve">ESP32 Dev Board (30-pin, WROOM-32, USB-C)</t>
  </si>
  <si>
    <t xml:space="preserve">ESP32-DEV</t>
  </si>
  <si>
    <t xml:space="preserve">Confirmed on site</t>
  </si>
  <si>
    <t xml:space="preserve">robotics.org.za</t>
  </si>
  <si>
    <t xml:space="preserve">https://www.robotics.org.za/ESP32-DEV</t>
  </si>
  <si>
    <t xml:space="preserve">Standard ESP-WROOM-32 dev board matching your finalised 2-ESP32 architecture (1x motor board, 1x sensor board); cheap, well-stocked, breaks out all GPIO you need for the L298N + ultrasonic + IMU wiring plan.</t>
  </si>
  <si>
    <t xml:space="preserve">Motor Control</t>
  </si>
  <si>
    <t xml:space="preserve">L298 Dual 2A H-Bridge Motor Driver</t>
  </si>
  <si>
    <t xml:space="preserve">L298-MOD (L298N)</t>
  </si>
  <si>
    <t xml:space="preserve">https://www.robotics.org.za/L298N</t>
  </si>
  <si>
    <t xml:space="preserve">Matches your documented pin plan exactly (IN1-4 + ENA/ENB per board, one 12V cell per driver). Two boards give you independent left/right differential control for the 4-motor layout.</t>
  </si>
  <si>
    <t xml:space="preserve">Sensing - Distance</t>
  </si>
  <si>
    <t xml:space="preserve">HC-SR04 Ultrasonic Sensor</t>
  </si>
  <si>
    <t xml:space="preserve">HC-SR04</t>
  </si>
  <si>
    <t xml:space="preserve">https://www.robotics.org.za/HC-SR04</t>
  </si>
  <si>
    <t xml:space="preserve">Cheapest, most widely documented ultrasonic module; matches your 5-sensor front array plan (centre, 2x angled, 2x side) for near-180 degree forward coverage.</t>
  </si>
  <si>
    <t xml:space="preserve">Sensing - IMU</t>
  </si>
  <si>
    <t xml:space="preserve">Fermion MPU6050 Motion Sensor (6DOF)</t>
  </si>
  <si>
    <t xml:space="preserve">MPU6050 / GY-521 style</t>
  </si>
  <si>
    <t xml:space="preserve">ESTIMATE - confirm on site</t>
  </si>
  <si>
    <t xml:space="preserve">diyelectronics.co.za</t>
  </si>
  <si>
    <t xml:space="preserve">https://www.diyelectronics.co.za/store/motion/4330-fermion-mpu6050-motion-sensor-6-dof.html</t>
  </si>
  <si>
    <t xml:space="preserve">Standard 3-axis gyro + 3-axis accelerometer over I2C for continuous position/orientation tracking, as planned. Product page found on diyelectronics.co.za but price could not be scraped (site blocks automated fetches) - check cart price before ordering.</t>
  </si>
  <si>
    <t xml:space="preserve">Sensing - Backup Obstacle</t>
  </si>
  <si>
    <t xml:space="preserve">IR Obstacle/Proximity Sensor</t>
  </si>
  <si>
    <t xml:space="preserve">See IR Sensors category</t>
  </si>
  <si>
    <t xml:space="preserve">https://www.diyelectronics.co.za/store/267-ir</t>
  </si>
  <si>
    <t xml:space="preserve">Secondary/backup obstacle detection alongside the ultrasonic array, as you planned. Category page confirmed to exist; pick the basic digital-output IR proximity module (2-30cm range) - exact SKU/price not captured, verify on site.</t>
  </si>
  <si>
    <t xml:space="preserve">Drive</t>
  </si>
  <si>
    <t xml:space="preserve">Reversible High-Torque DC Gear Motor 12V 30RPM</t>
  </si>
  <si>
    <t xml:space="preserve">12V 30RPM Gear Motor</t>
  </si>
  <si>
    <t xml:space="preserve">https://www.diyelectronics.co.za/store/motors/4606-reversible-high-torque-30rpm-12v-dc-gear-motor.html</t>
  </si>
  <si>
    <t xml:space="preserve">IMPORTANT: your final motor-driver wiring plan (IN1-4/ENA/ENB, 2x L298N boards, 2 outputs each) is a standard brushed-DC H-bridge layout, not a brushless/ESC setup - this supersedes the earlier 'BBD 2212 KV brushless' idea. Standard 12V worm-gear DC motors are the correct match for L298N drivers and give self-locking torque at rest. 30RPM chosen as a starting point for your ~1m/s target speed - check RPM vs. wheel diameter before committing (10RPM and 90RPM variants also exist at the same link's category page if you need to retune).</t>
  </si>
  <si>
    <t xml:space="preserve">Robot Wheel 60x25mm</t>
  </si>
  <si>
    <t xml:space="preserve">60x25mm Robot Wheel</t>
  </si>
  <si>
    <t xml:space="preserve">https://www.diyelectronics.co.za/store/261-dc-motors</t>
  </si>
  <si>
    <t xml:space="preserve">Sized to pair with the geared motors above; listed on the same DC Motors category page. Confirm hub/shaft compatibility (D-shaft vs round) with the exact gear motor you pick before ordering.</t>
  </si>
  <si>
    <t xml:space="preserve">Safety</t>
  </si>
  <si>
    <t xml:space="preserve">Emergency Stop Mushroom Push Button Switch</t>
  </si>
  <si>
    <t xml:space="preserve">FIT0156</t>
  </si>
  <si>
    <t xml:space="preserve">Confirmed on site (currently OUT OF STOCK both branches)</t>
  </si>
  <si>
    <t xml:space="preserve">https://www.robotics.org.za/FIT0156</t>
  </si>
  <si>
    <t xml:space="preserve">22mm mounting, 660V/10A rated, latching (twist-to-release) - the physical half of your dual e-stop redundancy plan. Currently shows no stock at either branch; check back or see 'On/Off Switch IP65' (R152, https://www.robotics.org.za/KAO-5H) as a same-site backup option.</t>
  </si>
  <si>
    <t xml:space="preserve">Remote E-Stop (RF relay kill-switch module)</t>
  </si>
  <si>
    <t xml:space="preserve">RF remote control relay/kill switch</t>
  </si>
  <si>
    <t xml:space="preserve">ESTIMATE - not sourced from either site</t>
  </si>
  <si>
    <t xml:space="preserve">TBD</t>
  </si>
  <si>
    <t xml:space="preserve">Second half of your dual e-stop redundancy plan (physical + remote). Neither site's search results surfaced a dedicated RF kill-switch product in this session - search robotics.org.za's 'Relay - Wireless and Network' category (https://www.robotics.org.za/breakout-boards/relay-wireless) directly for a 433MHz RF relay receiver + fob, which is the standard DIY approach.</t>
  </si>
  <si>
    <t xml:space="preserve">Power</t>
  </si>
  <si>
    <t xml:space="preserve">12V Battery (capacity TBD by runtime needs)</t>
  </si>
  <si>
    <t xml:space="preserve">Sealed lead-acid or Li-ion pack</t>
  </si>
  <si>
    <t xml:space="preserve">ESTIMATE - not sourced</t>
  </si>
  <si>
    <t xml:space="preserve">One per L298N driver per your wiring notes (each driver's Vs from its own 12V cell). Check robotics.org.za's Power/Battery category for 12V SLA (cheaper, heavier) vs. a 3S Li-ion/LiPo pack (lighter, pricier) - your &lt;=4kg carry budget may push you toward Li-ion. Not priced this session.</t>
  </si>
  <si>
    <t xml:space="preserve">Misc</t>
  </si>
  <si>
    <t xml:space="preserve">Wiring, connectors, terminal blocks, mounting hardware</t>
  </si>
  <si>
    <t xml:space="preserve">Various</t>
  </si>
  <si>
    <t xml:space="preserve">ESTIMATE</t>
  </si>
  <si>
    <t xml:space="preserve">Both sites</t>
  </si>
  <si>
    <t xml:space="preserve">Buffer for jumper wires/Dupont cables/screw terminals/standoffs not itemised individually.</t>
  </si>
  <si>
    <t xml:space="preserve">TOTAL (ZAR)</t>
  </si>
  <si>
    <t xml:space="preserve">~R500 confirmed live on robotics.org.za; ~R2,140 estimated/unsourced - re-check those lines in-cart before ordering, prices and stock change.</t>
  </si>
  <si>
    <t xml:space="preserve">Color Key</t>
  </si>
  <si>
    <t xml:space="preserve">Estimate - needs confirmation</t>
  </si>
  <si>
    <t xml:space="preserve">Not sourced / TBD</t>
  </si>
  <si>
    <t xml:space="preserve">Blue font = hardcoded input price. Line Total and grand TOTAL are formulas (Qty x Unit Price, and SUM of line totals) that recalculate automatically.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</si>
</sst>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R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robotics.org.za/ESP32-DEV" TargetMode="External"/><Relationship Id="rId2" Type="http://schemas.openxmlformats.org/officeDocument/2006/relationships/hyperlink" Target="https://www.robotics.org.za/L298N" TargetMode="External"/><Relationship Id="rId3" Type="http://schemas.openxmlformats.org/officeDocument/2006/relationships/hyperlink" Target="https://www.robotics.org.za/HC-SR04" TargetMode="External"/><Relationship Id="rId4" Type="http://schemas.openxmlformats.org/officeDocument/2006/relationships/hyperlink" Target="https://www.diyelectronics.co.za/store/motion/4330-fermion-mpu6050-motion-sensor-6-dof.html" TargetMode="External"/><Relationship Id="rId5" Type="http://schemas.openxmlformats.org/officeDocument/2006/relationships/hyperlink" Target="https://www.diyelectronics.co.za/store/267-ir" TargetMode="External"/><Relationship Id="rId6" Type="http://schemas.openxmlformats.org/officeDocument/2006/relationships/hyperlink" Target="https://www.diyelectronics.co.za/store/motors/4606-reversible-high-torque-30rpm-12v-dc-gear-motor.html" TargetMode="External"/><Relationship Id="rId7" Type="http://schemas.openxmlformats.org/officeDocument/2006/relationships/hyperlink" Target="https://www.diyelectronics.co.za/store/261-dc-motors" TargetMode="External"/><Relationship Id="rId8" Type="http://schemas.openxmlformats.org/officeDocument/2006/relationships/hyperlink" Target="https://www.robotics.org.za/FIT015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6"/>
    <col collapsed="false" customWidth="true" hidden="false" outlineLevel="0" max="6" min="5" style="0" width="15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32"/>
    <col collapsed="false" customWidth="true" hidden="false" outlineLevel="0" max="10" min="10" style="0" width="5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6.25" hidden="false" customHeight="false" outlineLevel="0" collapsed="false">
      <c r="A2" s="2" t="s">
        <v>10</v>
      </c>
      <c r="B2" s="2" t="s">
        <v>11</v>
      </c>
      <c r="C2" s="2" t="s">
        <v>12</v>
      </c>
      <c r="D2" s="3" t="n">
        <v>2</v>
      </c>
      <c r="E2" s="4" t="n">
        <v>98</v>
      </c>
      <c r="F2" s="5" t="n">
        <f aca="false">D2*E2</f>
        <v>196</v>
      </c>
      <c r="G2" s="2" t="s">
        <v>13</v>
      </c>
      <c r="H2" s="2" t="s">
        <v>14</v>
      </c>
      <c r="I2" s="6" t="s">
        <v>15</v>
      </c>
      <c r="J2" s="2" t="s">
        <v>16</v>
      </c>
    </row>
    <row r="3" customFormat="false" ht="35.05" hidden="false" customHeight="false" outlineLevel="0" collapsed="false">
      <c r="A3" s="2" t="s">
        <v>17</v>
      </c>
      <c r="B3" s="2" t="s">
        <v>18</v>
      </c>
      <c r="C3" s="2" t="s">
        <v>19</v>
      </c>
      <c r="D3" s="3" t="n">
        <v>2</v>
      </c>
      <c r="E3" s="4" t="n">
        <v>36</v>
      </c>
      <c r="F3" s="5" t="n">
        <f aca="false">D3*E3</f>
        <v>72</v>
      </c>
      <c r="G3" s="2" t="s">
        <v>13</v>
      </c>
      <c r="H3" s="2" t="s">
        <v>14</v>
      </c>
      <c r="I3" s="6" t="s">
        <v>20</v>
      </c>
      <c r="J3" s="2" t="s">
        <v>21</v>
      </c>
    </row>
    <row r="4" customFormat="false" ht="35.05" hidden="false" customHeight="false" outlineLevel="0" collapsed="false">
      <c r="A4" s="2" t="s">
        <v>22</v>
      </c>
      <c r="B4" s="2" t="s">
        <v>23</v>
      </c>
      <c r="C4" s="2" t="s">
        <v>24</v>
      </c>
      <c r="D4" s="3" t="n">
        <v>5</v>
      </c>
      <c r="E4" s="4" t="n">
        <v>24</v>
      </c>
      <c r="F4" s="5" t="n">
        <f aca="false">D4*E4</f>
        <v>120</v>
      </c>
      <c r="G4" s="2" t="s">
        <v>13</v>
      </c>
      <c r="H4" s="2" t="s">
        <v>14</v>
      </c>
      <c r="I4" s="6" t="s">
        <v>25</v>
      </c>
      <c r="J4" s="2" t="s">
        <v>26</v>
      </c>
    </row>
    <row r="5" customFormat="false" ht="46.25" hidden="false" customHeight="false" outlineLevel="0" collapsed="false">
      <c r="A5" s="7" t="s">
        <v>27</v>
      </c>
      <c r="B5" s="7" t="s">
        <v>28</v>
      </c>
      <c r="C5" s="7" t="s">
        <v>29</v>
      </c>
      <c r="D5" s="8" t="n">
        <v>1</v>
      </c>
      <c r="E5" s="9" t="n">
        <v>150</v>
      </c>
      <c r="F5" s="10" t="n">
        <f aca="false">D5*E5</f>
        <v>150</v>
      </c>
      <c r="G5" s="7" t="s">
        <v>30</v>
      </c>
      <c r="H5" s="7" t="s">
        <v>31</v>
      </c>
      <c r="I5" s="11" t="s">
        <v>32</v>
      </c>
      <c r="J5" s="7" t="s">
        <v>33</v>
      </c>
    </row>
    <row r="6" customFormat="false" ht="46.25" hidden="false" customHeight="false" outlineLevel="0" collapsed="false">
      <c r="A6" s="7" t="s">
        <v>34</v>
      </c>
      <c r="B6" s="7" t="s">
        <v>35</v>
      </c>
      <c r="C6" s="7" t="s">
        <v>36</v>
      </c>
      <c r="D6" s="8" t="n">
        <v>2</v>
      </c>
      <c r="E6" s="9" t="n">
        <v>45</v>
      </c>
      <c r="F6" s="10" t="n">
        <f aca="false">D6*E6</f>
        <v>90</v>
      </c>
      <c r="G6" s="7" t="s">
        <v>30</v>
      </c>
      <c r="H6" s="7" t="s">
        <v>31</v>
      </c>
      <c r="I6" s="11" t="s">
        <v>37</v>
      </c>
      <c r="J6" s="7" t="s">
        <v>38</v>
      </c>
    </row>
    <row r="7" customFormat="false" ht="102.2" hidden="false" customHeight="false" outlineLevel="0" collapsed="false">
      <c r="A7" s="7" t="s">
        <v>39</v>
      </c>
      <c r="B7" s="7" t="s">
        <v>40</v>
      </c>
      <c r="C7" s="7" t="s">
        <v>41</v>
      </c>
      <c r="D7" s="8" t="n">
        <v>4</v>
      </c>
      <c r="E7" s="9" t="n">
        <v>180</v>
      </c>
      <c r="F7" s="10" t="n">
        <f aca="false">D7*E7</f>
        <v>720</v>
      </c>
      <c r="G7" s="7" t="s">
        <v>30</v>
      </c>
      <c r="H7" s="7" t="s">
        <v>31</v>
      </c>
      <c r="I7" s="11" t="s">
        <v>42</v>
      </c>
      <c r="J7" s="7" t="s">
        <v>43</v>
      </c>
    </row>
    <row r="8" customFormat="false" ht="35.05" hidden="false" customHeight="false" outlineLevel="0" collapsed="false">
      <c r="A8" s="7" t="s">
        <v>39</v>
      </c>
      <c r="B8" s="7" t="s">
        <v>44</v>
      </c>
      <c r="C8" s="7" t="s">
        <v>45</v>
      </c>
      <c r="D8" s="8" t="n">
        <v>4</v>
      </c>
      <c r="E8" s="9" t="n">
        <v>55</v>
      </c>
      <c r="F8" s="10" t="n">
        <f aca="false">D8*E8</f>
        <v>220</v>
      </c>
      <c r="G8" s="7" t="s">
        <v>30</v>
      </c>
      <c r="H8" s="7" t="s">
        <v>31</v>
      </c>
      <c r="I8" s="11" t="s">
        <v>46</v>
      </c>
      <c r="J8" s="7" t="s">
        <v>47</v>
      </c>
    </row>
    <row r="9" customFormat="false" ht="57.45" hidden="false" customHeight="false" outlineLevel="0" collapsed="false">
      <c r="A9" s="2" t="s">
        <v>48</v>
      </c>
      <c r="B9" s="2" t="s">
        <v>49</v>
      </c>
      <c r="C9" s="2" t="s">
        <v>50</v>
      </c>
      <c r="D9" s="3" t="n">
        <v>1</v>
      </c>
      <c r="E9" s="4" t="n">
        <v>112</v>
      </c>
      <c r="F9" s="5" t="n">
        <f aca="false">D9*E9</f>
        <v>112</v>
      </c>
      <c r="G9" s="2" t="s">
        <v>51</v>
      </c>
      <c r="H9" s="2" t="s">
        <v>14</v>
      </c>
      <c r="I9" s="6" t="s">
        <v>52</v>
      </c>
      <c r="J9" s="2" t="s">
        <v>53</v>
      </c>
    </row>
    <row r="10" customFormat="false" ht="79.85" hidden="false" customHeight="false" outlineLevel="0" collapsed="false">
      <c r="A10" s="12" t="s">
        <v>48</v>
      </c>
      <c r="B10" s="12" t="s">
        <v>54</v>
      </c>
      <c r="C10" s="12" t="s">
        <v>55</v>
      </c>
      <c r="D10" s="13" t="n">
        <v>1</v>
      </c>
      <c r="E10" s="14" t="n">
        <v>250</v>
      </c>
      <c r="F10" s="15" t="n">
        <f aca="false">D10*E10</f>
        <v>250</v>
      </c>
      <c r="G10" s="12" t="s">
        <v>56</v>
      </c>
      <c r="H10" s="12" t="s">
        <v>57</v>
      </c>
      <c r="I10" s="12"/>
      <c r="J10" s="12" t="s">
        <v>58</v>
      </c>
    </row>
    <row r="11" customFormat="false" ht="57.45" hidden="false" customHeight="false" outlineLevel="0" collapsed="false">
      <c r="A11" s="12" t="s">
        <v>59</v>
      </c>
      <c r="B11" s="12" t="s">
        <v>60</v>
      </c>
      <c r="C11" s="12" t="s">
        <v>61</v>
      </c>
      <c r="D11" s="13" t="n">
        <v>2</v>
      </c>
      <c r="E11" s="14" t="n">
        <v>280</v>
      </c>
      <c r="F11" s="15" t="n">
        <f aca="false">D11*E11</f>
        <v>560</v>
      </c>
      <c r="G11" s="12" t="s">
        <v>62</v>
      </c>
      <c r="H11" s="12" t="s">
        <v>57</v>
      </c>
      <c r="I11" s="12"/>
      <c r="J11" s="12" t="s">
        <v>63</v>
      </c>
    </row>
    <row r="12" customFormat="false" ht="23.85" hidden="false" customHeight="false" outlineLevel="0" collapsed="false">
      <c r="A12" s="7" t="s">
        <v>64</v>
      </c>
      <c r="B12" s="7" t="s">
        <v>65</v>
      </c>
      <c r="C12" s="7" t="s">
        <v>66</v>
      </c>
      <c r="D12" s="8" t="n">
        <v>1</v>
      </c>
      <c r="E12" s="9" t="n">
        <v>150</v>
      </c>
      <c r="F12" s="10" t="n">
        <f aca="false">D12*E12</f>
        <v>150</v>
      </c>
      <c r="G12" s="7" t="s">
        <v>67</v>
      </c>
      <c r="H12" s="7" t="s">
        <v>68</v>
      </c>
      <c r="I12" s="7"/>
      <c r="J12" s="7" t="s">
        <v>69</v>
      </c>
    </row>
    <row r="14" customFormat="false" ht="22.35" hidden="false" customHeight="false" outlineLevel="0" collapsed="false">
      <c r="F14" s="16" t="s">
        <v>70</v>
      </c>
      <c r="G14" s="17" t="n">
        <f aca="false">SUM(F2:F12)</f>
        <v>2640</v>
      </c>
      <c r="J14" s="18" t="s">
        <v>71</v>
      </c>
    </row>
  </sheetData>
  <hyperlinks>
    <hyperlink ref="I2" r:id="rId1" display="https://www.robotics.org.za/ESP32-DEV"/>
    <hyperlink ref="I3" r:id="rId2" display="https://www.robotics.org.za/L298N"/>
    <hyperlink ref="I4" r:id="rId3" display="https://www.robotics.org.za/HC-SR04"/>
    <hyperlink ref="I5" r:id="rId4" display="https://www.diyelectronics.co.za/store/motion/4330-fermion-mpu6050-motion-sensor-6-dof.html"/>
    <hyperlink ref="I6" r:id="rId5" display="https://www.diyelectronics.co.za/store/267-ir"/>
    <hyperlink ref="I7" r:id="rId6" display="https://www.diyelectronics.co.za/store/motors/4606-reversible-high-torque-30rpm-12v-dc-gear-motor.html"/>
    <hyperlink ref="I8" r:id="rId7" display="https://www.diyelectronics.co.za/store/261-dc-motors"/>
    <hyperlink ref="I9" r:id="rId8" display="https://www.robotics.org.za/FIT015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19" t="s">
        <v>72</v>
      </c>
    </row>
    <row r="3" customFormat="false" ht="15" hidden="false" customHeight="false" outlineLevel="0" collapsed="false">
      <c r="A3" s="20" t="s">
        <v>13</v>
      </c>
    </row>
    <row r="4" customFormat="false" ht="15" hidden="false" customHeight="false" outlineLevel="0" collapsed="false">
      <c r="A4" s="21" t="s">
        <v>73</v>
      </c>
    </row>
    <row r="5" customFormat="false" ht="15" hidden="false" customHeight="false" outlineLevel="0" collapsed="false">
      <c r="A5" s="22" t="s">
        <v>74</v>
      </c>
    </row>
    <row r="7" customFormat="false" ht="22.35" hidden="false" customHeight="false" outlineLevel="0" collapsed="false">
      <c r="A7" s="23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2026-09-09T20:50:21Z</dcterms:created>
  <dc:creator>openpyxl</dc:creator>
  <dc:description/>
  <dc:language>en-US</dc:language>
  <cp:lastModifiedBy/>
  <dcterms:modified xsi:type="dcterms:W3CDTF">2026-09-09T20:50:21Z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